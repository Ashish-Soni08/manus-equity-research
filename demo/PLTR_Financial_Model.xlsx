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DCF Valuation" sheetId="3" state="visible" r:id="rId3"/>
    <sheet xmlns:r="http://schemas.openxmlformats.org/officeDocument/2006/relationships" name="Comps Analysis" sheetId="4" state="visible" r:id="rId4"/>
    <sheet xmlns:r="http://schemas.openxmlformats.org/officeDocument/2006/relationships" name="Key Metrics" sheetId="5" state="visible" r:id="rId5"/>
    <sheet xmlns:r="http://schemas.openxmlformats.org/officeDocument/2006/relationships" name="Investment The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0.0x"/>
    <numFmt numFmtId="167" formatCode="0.000"/>
    <numFmt numFmtId="168" formatCode="$#,##0.0"/>
    <numFmt numFmtId="169" formatCode=""/>
    <numFmt numFmtId="170" formatCode="$#,##0.000&quot;M&quot;"/>
  </numFmts>
  <fonts count="2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1F4E79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548235"/>
      <sz val="11"/>
    </font>
    <font>
      <name val="Calibri"/>
      <b val="1"/>
      <color rgb="00C00000"/>
      <sz val="12"/>
    </font>
    <font>
      <name val="Calibri"/>
      <b val="1"/>
      <sz val="10"/>
    </font>
    <font>
      <name val="Calibri"/>
      <b val="1"/>
      <color rgb="00BF8F00"/>
      <sz val="10"/>
    </font>
    <font>
      <name val="Calibri"/>
      <b val="1"/>
      <color rgb="00548235"/>
    </font>
    <font>
      <name val="Calibri"/>
      <b val="1"/>
      <color rgb="00C00000"/>
      <sz val="16"/>
    </font>
    <font>
      <name val="Calibri"/>
      <b val="1"/>
      <color rgb="00BF8F00"/>
      <sz val="16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548235"/>
      <sz val="12"/>
    </font>
    <font>
      <name val="Calibri"/>
      <color rgb="00548235"/>
      <sz val="10"/>
    </font>
    <font>
      <name val="Calibri"/>
      <color rgb="00C00000"/>
      <sz val="10"/>
    </font>
    <font>
      <name val="Calibri"/>
      <b val="1"/>
      <color rgb="001F4E79"/>
      <sz val="12"/>
    </font>
    <font>
      <name val="Calibri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3" fontId="6" fillId="0" borderId="0" applyAlignment="1" pivotButton="0" quotePrefix="0" xfId="0">
      <alignment horizontal="right"/>
    </xf>
    <xf numFmtId="3" fontId="6" fillId="3" borderId="0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5" fillId="0" borderId="1" pivotButton="0" quotePrefix="0" xfId="0"/>
    <xf numFmtId="3" fontId="6" fillId="0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0" fontId="6" fillId="0" borderId="1" pivotButton="0" quotePrefix="0" xfId="0"/>
    <xf numFmtId="165" fontId="6" fillId="0" borderId="0" applyAlignment="1" pivotButton="0" quotePrefix="0" xfId="0">
      <alignment horizontal="right"/>
    </xf>
    <xf numFmtId="165" fontId="6" fillId="3" borderId="0" applyAlignment="1" pivotButton="0" quotePrefix="0" xfId="0">
      <alignment horizontal="right"/>
    </xf>
    <xf numFmtId="0" fontId="3" fillId="4" borderId="0" applyAlignment="1" pivotButton="0" quotePrefix="0" xfId="0">
      <alignment horizontal="center"/>
    </xf>
    <xf numFmtId="166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3" borderId="0" pivotButton="0" quotePrefix="0" xfId="0"/>
    <xf numFmtId="2" fontId="6" fillId="3" borderId="0" pivotButton="0" quotePrefix="0" xfId="0"/>
    <xf numFmtId="3" fontId="6" fillId="3" borderId="0" pivotButton="0" quotePrefix="0" xfId="0"/>
    <xf numFmtId="167" fontId="6" fillId="0" borderId="0" applyAlignment="1" pivotButton="0" quotePrefix="0" xfId="0">
      <alignment horizontal="right"/>
    </xf>
    <xf numFmtId="3" fontId="6" fillId="5" borderId="0" pivotButton="0" quotePrefix="0" xfId="0"/>
    <xf numFmtId="0" fontId="8" fillId="0" borderId="1" pivotButton="0" quotePrefix="0" xfId="0"/>
    <xf numFmtId="3" fontId="8" fillId="5" borderId="1" pivotButton="0" quotePrefix="0" xfId="0"/>
    <xf numFmtId="0" fontId="0" fillId="0" borderId="1" pivotButton="0" quotePrefix="0" xfId="0"/>
    <xf numFmtId="165" fontId="8" fillId="5" borderId="1" pivotButton="0" quotePrefix="0" xfId="0"/>
    <xf numFmtId="165" fontId="0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4" fillId="2" borderId="0" pivotButton="0" quotePrefix="0" xfId="0"/>
    <xf numFmtId="164" fontId="4" fillId="2" borderId="0" pivotButton="0" quotePrefix="0" xfId="0"/>
    <xf numFmtId="164" fontId="3" fillId="4" borderId="0" pivotButton="0" quotePrefix="0" xfId="0"/>
    <xf numFmtId="165" fontId="10" fillId="6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168" fontId="10" fillId="5" borderId="0" applyAlignment="1" pivotButton="0" quotePrefix="0" xfId="0">
      <alignment horizontal="right"/>
    </xf>
    <xf numFmtId="165" fontId="10" fillId="5" borderId="0" applyAlignment="1" pivotButton="0" quotePrefix="0" xfId="0">
      <alignment horizontal="right"/>
    </xf>
    <xf numFmtId="164" fontId="10" fillId="5" borderId="0" applyAlignment="1" pivotButton="0" quotePrefix="0" xfId="0">
      <alignment horizontal="right"/>
    </xf>
    <xf numFmtId="166" fontId="10" fillId="5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168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  <xf numFmtId="0" fontId="11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Statement'!B4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Statement'!$B$4:$L$4</f>
            </numRef>
          </cat>
          <val>
            <numRef>
              <f>'Income Statement'!$C$4:$L$4</f>
            </numRef>
          </val>
        </ser>
        <ser>
          <idx val="1"/>
          <order val="1"/>
          <tx>
            <strRef>
              <f>'Income Statement'!B5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Statement'!$B$4:$L$4</f>
            </numRef>
          </cat>
          <val>
            <numRef>
              <f>'Income Statement'!$C$5:$L$5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PALANTIR TECHNOLOGIES INC. (PLTR) — INCOME STATEMENT</t>
        </is>
      </c>
    </row>
    <row r="2">
      <c r="A2" s="2" t="inlineStr">
        <is>
          <t>All figures in USD millions unless otherwise stated | Projections (2026E-2030E) are analyst estimates</t>
        </is>
      </c>
    </row>
    <row r="4">
      <c r="A4" s="3" t="inlineStr">
        <is>
          <t>($ in millions)</t>
        </is>
      </c>
      <c r="B4" s="3" t="n">
        <v>2020</v>
      </c>
      <c r="C4" s="3" t="n">
        <v>2021</v>
      </c>
      <c r="D4" s="3" t="n">
        <v>2022</v>
      </c>
      <c r="E4" s="3" t="n">
        <v>2023</v>
      </c>
      <c r="F4" s="3" t="n">
        <v>2024</v>
      </c>
      <c r="G4" s="3" t="n">
        <v>2025</v>
      </c>
      <c r="H4" s="3" t="inlineStr">
        <is>
          <t>2026E</t>
        </is>
      </c>
      <c r="I4" s="3" t="inlineStr">
        <is>
          <t>2027E</t>
        </is>
      </c>
      <c r="J4" s="3" t="inlineStr">
        <is>
          <t>2028E</t>
        </is>
      </c>
      <c r="K4" s="3" t="inlineStr">
        <is>
          <t>2029E</t>
        </is>
      </c>
      <c r="L4" s="3" t="inlineStr">
        <is>
          <t>2030E</t>
        </is>
      </c>
    </row>
    <row r="5">
      <c r="A5" s="4" t="inlineStr">
        <is>
          <t>Revenue</t>
        </is>
      </c>
      <c r="B5" s="5" t="n">
        <v>1093</v>
      </c>
      <c r="C5" s="5" t="n">
        <v>1542</v>
      </c>
      <c r="D5" s="5" t="n">
        <v>1906</v>
      </c>
      <c r="E5" s="5" t="n">
        <v>2225</v>
      </c>
      <c r="F5" s="5" t="n">
        <v>2866</v>
      </c>
      <c r="G5" s="5" t="n">
        <v>4475</v>
      </c>
      <c r="H5" s="6" t="n">
        <v>7190</v>
      </c>
      <c r="I5" s="6" t="n">
        <v>10066</v>
      </c>
      <c r="J5" s="6" t="n">
        <v>13086</v>
      </c>
      <c r="K5" s="6" t="n">
        <v>15703</v>
      </c>
      <c r="L5" s="6" t="n">
        <v>17902</v>
      </c>
    </row>
    <row r="6">
      <c r="A6" s="7" t="inlineStr">
        <is>
          <t>YoY Growth</t>
        </is>
      </c>
      <c r="B6" s="8" t="n"/>
      <c r="C6" s="9" t="n">
        <v>0.4107959743824336</v>
      </c>
      <c r="D6" s="9" t="n">
        <v>0.2360570687418936</v>
      </c>
      <c r="E6" s="9" t="n">
        <v>0.1673662119622246</v>
      </c>
      <c r="F6" s="9" t="n">
        <v>0.2880898876404495</v>
      </c>
      <c r="G6" s="9" t="n">
        <v>0.5614096301465457</v>
      </c>
      <c r="H6" s="10" t="n">
        <v>0.6067039106145251</v>
      </c>
      <c r="I6" s="10" t="n">
        <v>0.4</v>
      </c>
      <c r="J6" s="10" t="n">
        <v>0.3000198688654878</v>
      </c>
      <c r="K6" s="10" t="n">
        <v>0.1999847164909063</v>
      </c>
      <c r="L6" s="10" t="n">
        <v>0.1400369356173979</v>
      </c>
    </row>
    <row r="7">
      <c r="A7" s="7" t="inlineStr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>
      <c r="A8" s="7" t="inlineStr">
        <is>
          <t>Cost of Revenue</t>
        </is>
      </c>
      <c r="B8" s="5" t="n">
        <v>427</v>
      </c>
      <c r="C8" s="5" t="n">
        <v>600</v>
      </c>
      <c r="D8" s="5" t="n">
        <v>716</v>
      </c>
      <c r="E8" s="5" t="n">
        <v>725</v>
      </c>
      <c r="F8" s="5" t="n">
        <v>566</v>
      </c>
      <c r="G8" s="5" t="n">
        <v>789</v>
      </c>
      <c r="H8" s="6" t="n">
        <v>1150</v>
      </c>
      <c r="I8" s="6" t="n">
        <v>1510</v>
      </c>
      <c r="J8" s="6" t="n">
        <v>1833</v>
      </c>
      <c r="K8" s="6" t="n">
        <v>2041</v>
      </c>
      <c r="L8" s="6" t="n">
        <v>2148</v>
      </c>
    </row>
    <row r="9">
      <c r="A9" s="12" t="inlineStr">
        <is>
          <t>Gross Profit</t>
        </is>
      </c>
      <c r="B9" s="13" t="n">
        <v>666</v>
      </c>
      <c r="C9" s="13" t="n">
        <v>942</v>
      </c>
      <c r="D9" s="13" t="n">
        <v>1190</v>
      </c>
      <c r="E9" s="13" t="n">
        <v>1500</v>
      </c>
      <c r="F9" s="13" t="n">
        <v>2300</v>
      </c>
      <c r="G9" s="13" t="n">
        <v>3686</v>
      </c>
      <c r="H9" s="14" t="n">
        <v>6040</v>
      </c>
      <c r="I9" s="14" t="n">
        <v>8556</v>
      </c>
      <c r="J9" s="14" t="n">
        <v>11253</v>
      </c>
      <c r="K9" s="14" t="n">
        <v>13662</v>
      </c>
      <c r="L9" s="14" t="n">
        <v>15754</v>
      </c>
    </row>
    <row r="10">
      <c r="A10" s="7" t="inlineStr">
        <is>
          <t>Gross Margin</t>
        </is>
      </c>
      <c r="B10" s="9" t="n">
        <v>0.6093321134492223</v>
      </c>
      <c r="C10" s="9" t="n">
        <v>0.6108949416342413</v>
      </c>
      <c r="D10" s="9" t="n">
        <v>0.6243441762854145</v>
      </c>
      <c r="E10" s="9" t="n">
        <v>0.6741573033707865</v>
      </c>
      <c r="F10" s="9" t="n">
        <v>0.8025122121423587</v>
      </c>
      <c r="G10" s="9" t="n">
        <v>0.8236871508379888</v>
      </c>
      <c r="H10" s="10" t="n">
        <v>0.8400556328233658</v>
      </c>
      <c r="I10" s="10" t="n">
        <v>0.8499900655672561</v>
      </c>
      <c r="J10" s="10" t="n">
        <v>0.8599266391563503</v>
      </c>
      <c r="K10" s="10" t="n">
        <v>0.8700248360185951</v>
      </c>
      <c r="L10" s="10" t="n">
        <v>0.8800134063233158</v>
      </c>
    </row>
    <row r="11">
      <c r="A11" s="7" t="inlineStr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7" t="inlineStr">
        <is>
          <t>Sales &amp; Marketing</t>
        </is>
      </c>
      <c r="B12" s="5" t="n">
        <v>668</v>
      </c>
      <c r="C12" s="5" t="n">
        <v>612</v>
      </c>
      <c r="D12" s="5" t="n">
        <v>594</v>
      </c>
      <c r="E12" s="5" t="n">
        <v>533</v>
      </c>
      <c r="F12" s="5" t="n">
        <v>888</v>
      </c>
      <c r="G12" s="5" t="n">
        <v>1057</v>
      </c>
      <c r="H12" s="6" t="n">
        <v>1294</v>
      </c>
      <c r="I12" s="6" t="n">
        <v>1611</v>
      </c>
      <c r="J12" s="6" t="n">
        <v>1833</v>
      </c>
      <c r="K12" s="6" t="n">
        <v>2041</v>
      </c>
      <c r="L12" s="6" t="n">
        <v>2148</v>
      </c>
    </row>
    <row r="13">
      <c r="A13" s="7" t="inlineStr">
        <is>
          <t>Research &amp; Development</t>
        </is>
      </c>
      <c r="B13" s="5" t="n">
        <v>561</v>
      </c>
      <c r="C13" s="5" t="n">
        <v>416</v>
      </c>
      <c r="D13" s="5" t="n">
        <v>380</v>
      </c>
      <c r="E13" s="5" t="n">
        <v>353</v>
      </c>
      <c r="F13" s="5" t="n">
        <v>508</v>
      </c>
      <c r="G13" s="5" t="n">
        <v>558</v>
      </c>
      <c r="H13" s="6" t="n">
        <v>791</v>
      </c>
      <c r="I13" s="6" t="n">
        <v>1007</v>
      </c>
      <c r="J13" s="6" t="n">
        <v>1047</v>
      </c>
      <c r="K13" s="6" t="n">
        <v>1099</v>
      </c>
      <c r="L13" s="6" t="n">
        <v>1253</v>
      </c>
    </row>
    <row r="14">
      <c r="A14" s="7" t="inlineStr">
        <is>
          <t>General &amp; Administrative</t>
        </is>
      </c>
      <c r="B14" s="5" t="n">
        <v>440</v>
      </c>
      <c r="C14" s="5" t="n">
        <v>369</v>
      </c>
      <c r="D14" s="5" t="n">
        <v>370</v>
      </c>
      <c r="E14" s="5" t="n">
        <v>355</v>
      </c>
      <c r="F14" s="5" t="n">
        <v>593</v>
      </c>
      <c r="G14" s="5" t="n">
        <v>658</v>
      </c>
      <c r="H14" s="6" t="n">
        <v>863</v>
      </c>
      <c r="I14" s="6" t="n">
        <v>1007</v>
      </c>
      <c r="J14" s="6" t="n">
        <v>1047</v>
      </c>
      <c r="K14" s="6" t="n">
        <v>1099</v>
      </c>
      <c r="L14" s="6" t="n">
        <v>1074</v>
      </c>
    </row>
    <row r="15">
      <c r="A15" s="15" t="inlineStr">
        <is>
          <t>Total Operating Expenses</t>
        </is>
      </c>
      <c r="B15" s="13" t="n">
        <v>1669</v>
      </c>
      <c r="C15" s="13" t="n">
        <v>1397</v>
      </c>
      <c r="D15" s="13" t="n">
        <v>1344</v>
      </c>
      <c r="E15" s="13" t="n">
        <v>1241</v>
      </c>
      <c r="F15" s="13" t="n">
        <v>1989</v>
      </c>
      <c r="G15" s="13" t="n">
        <v>2273</v>
      </c>
      <c r="H15" s="14" t="n">
        <v>2948</v>
      </c>
      <c r="I15" s="14" t="n">
        <v>3625</v>
      </c>
      <c r="J15" s="14" t="n">
        <v>3927</v>
      </c>
      <c r="K15" s="14" t="n">
        <v>4239</v>
      </c>
      <c r="L15" s="14" t="n">
        <v>4475</v>
      </c>
    </row>
    <row r="16">
      <c r="A16" s="7" t="inlineStr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>
      <c r="A17" s="12" t="inlineStr">
        <is>
          <t>GAAP Operating Income</t>
        </is>
      </c>
      <c r="B17" s="13" t="n">
        <v>-1003</v>
      </c>
      <c r="C17" s="13" t="n">
        <v>-455</v>
      </c>
      <c r="D17" s="13" t="n">
        <v>-154</v>
      </c>
      <c r="E17" s="13" t="n">
        <v>259</v>
      </c>
      <c r="F17" s="13" t="n">
        <v>311</v>
      </c>
      <c r="G17" s="13" t="n">
        <v>1413</v>
      </c>
      <c r="H17" s="14" t="n">
        <v>3092</v>
      </c>
      <c r="I17" s="14" t="n">
        <v>4931</v>
      </c>
      <c r="J17" s="14" t="n">
        <v>7326</v>
      </c>
      <c r="K17" s="14" t="n">
        <v>9423</v>
      </c>
      <c r="L17" s="14" t="n">
        <v>11279</v>
      </c>
    </row>
    <row r="18">
      <c r="A18" s="7" t="inlineStr">
        <is>
          <t>Operating Margin</t>
        </is>
      </c>
      <c r="B18" s="9" t="n">
        <v>-0.9176578225068619</v>
      </c>
      <c r="C18" s="9" t="n">
        <v>-0.2950713359273671</v>
      </c>
      <c r="D18" s="9" t="n">
        <v>-0.08079748163693599</v>
      </c>
      <c r="E18" s="9" t="n">
        <v>0.1164044943820225</v>
      </c>
      <c r="F18" s="9" t="n">
        <v>0.1085136078157711</v>
      </c>
      <c r="G18" s="9" t="n">
        <v>0.3157541899441341</v>
      </c>
      <c r="H18" s="10" t="n">
        <v>0.4300417246175243</v>
      </c>
      <c r="I18" s="10" t="n">
        <v>0.4898668786012318</v>
      </c>
      <c r="J18" s="10" t="n">
        <v>0.5598349381017882</v>
      </c>
      <c r="K18" s="10" t="n">
        <v>0.6000764185187544</v>
      </c>
      <c r="L18" s="10" t="n">
        <v>0.6300413361635572</v>
      </c>
    </row>
    <row r="19">
      <c r="A19" s="7" t="inlineStr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7" t="inlineStr">
        <is>
          <t>Stock-Based Compensation</t>
        </is>
      </c>
      <c r="B20" s="5" t="n">
        <v>1169</v>
      </c>
      <c r="C20" s="5" t="n">
        <v>778</v>
      </c>
      <c r="D20" s="5" t="n">
        <v>561</v>
      </c>
      <c r="E20" s="5" t="n">
        <v>470</v>
      </c>
      <c r="F20" s="5" t="n">
        <v>692</v>
      </c>
      <c r="G20" s="5" t="n">
        <v>684</v>
      </c>
      <c r="H20" s="6" t="n">
        <v>720</v>
      </c>
      <c r="I20" s="6" t="n">
        <v>805</v>
      </c>
      <c r="J20" s="6" t="n">
        <v>916</v>
      </c>
      <c r="K20" s="6" t="n">
        <v>1020</v>
      </c>
      <c r="L20" s="6" t="n">
        <v>1074</v>
      </c>
    </row>
    <row r="21">
      <c r="A21" s="12" t="inlineStr">
        <is>
          <t>Adj. Operating Income</t>
        </is>
      </c>
      <c r="B21" s="13" t="n">
        <v>166</v>
      </c>
      <c r="C21" s="13" t="n">
        <v>323</v>
      </c>
      <c r="D21" s="13" t="n">
        <v>407</v>
      </c>
      <c r="E21" s="13" t="n">
        <v>729</v>
      </c>
      <c r="F21" s="13" t="n">
        <v>1003</v>
      </c>
      <c r="G21" s="13" t="n">
        <v>2097</v>
      </c>
      <c r="H21" s="14" t="n">
        <v>3812</v>
      </c>
      <c r="I21" s="14" t="n">
        <v>5736</v>
      </c>
      <c r="J21" s="14" t="n">
        <v>8242</v>
      </c>
      <c r="K21" s="14" t="n">
        <v>10443</v>
      </c>
      <c r="L21" s="14" t="n">
        <v>12353</v>
      </c>
    </row>
    <row r="22">
      <c r="A22" s="7" t="inlineStr">
        <is>
          <t>Adj. Operating Margin</t>
        </is>
      </c>
      <c r="B22" s="9" t="n">
        <v>0.151875571820677</v>
      </c>
      <c r="C22" s="9" t="n">
        <v>0.2094682230869001</v>
      </c>
      <c r="D22" s="9" t="n">
        <v>0.2135362014690451</v>
      </c>
      <c r="E22" s="9" t="n">
        <v>0.3276404494382023</v>
      </c>
      <c r="F22" s="9" t="n">
        <v>0.3499651081646895</v>
      </c>
      <c r="G22" s="9" t="n">
        <v>0.4686033519553073</v>
      </c>
      <c r="H22" s="10" t="n">
        <v>0.5301808066759388</v>
      </c>
      <c r="I22" s="10" t="n">
        <v>0.5698390621895489</v>
      </c>
      <c r="J22" s="10" t="n">
        <v>0.6298334097508788</v>
      </c>
      <c r="K22" s="10" t="n">
        <v>0.6650321594599758</v>
      </c>
      <c r="L22" s="10" t="n">
        <v>0.6900346330018993</v>
      </c>
    </row>
    <row r="23">
      <c r="A23" s="7" t="inlineStr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>
      <c r="A24" s="12" t="inlineStr">
        <is>
          <t>GAAP Net Income</t>
        </is>
      </c>
      <c r="B24" s="13" t="n">
        <v>-1166</v>
      </c>
      <c r="C24" s="13" t="n">
        <v>-520</v>
      </c>
      <c r="D24" s="13" t="n">
        <v>-374</v>
      </c>
      <c r="E24" s="13" t="n">
        <v>210</v>
      </c>
      <c r="F24" s="13" t="n">
        <v>462</v>
      </c>
      <c r="G24" s="13" t="n">
        <v>1625</v>
      </c>
      <c r="H24" s="14" t="n">
        <v>2590</v>
      </c>
      <c r="I24" s="14" t="n">
        <v>3628</v>
      </c>
      <c r="J24" s="14" t="n">
        <v>4714</v>
      </c>
      <c r="K24" s="14" t="n">
        <v>5661</v>
      </c>
      <c r="L24" s="14" t="n">
        <v>6451</v>
      </c>
    </row>
    <row r="25">
      <c r="A25" s="7" t="inlineStr">
        <is>
          <t>EPS (Diluted)</t>
        </is>
      </c>
      <c r="B25" s="16" t="n">
        <v>-0.49</v>
      </c>
      <c r="C25" s="16" t="n">
        <v>-0.21</v>
      </c>
      <c r="D25" s="16" t="n">
        <v>-0.16</v>
      </c>
      <c r="E25" s="16" t="n">
        <v>0.09</v>
      </c>
      <c r="F25" s="16" t="n">
        <v>0.19</v>
      </c>
      <c r="G25" s="16" t="n">
        <v>0.63</v>
      </c>
      <c r="H25" s="17" t="n">
        <v>1.01</v>
      </c>
      <c r="I25" s="17" t="n">
        <v>1.41</v>
      </c>
      <c r="J25" s="17" t="n">
        <v>1.83</v>
      </c>
      <c r="K25" s="17" t="n">
        <v>2.2</v>
      </c>
      <c r="L25" s="17" t="n">
        <v>2.51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PALANTIR TECHNOLOGIES INC. (PLTR) — BALANCE SHEET SUMMARY</t>
        </is>
      </c>
    </row>
    <row r="3">
      <c r="A3" s="3" t="inlineStr">
        <is>
          <t>($ in millions)</t>
        </is>
      </c>
      <c r="B3" s="3" t="n">
        <v>2023</v>
      </c>
      <c r="C3" s="3" t="n">
        <v>2024</v>
      </c>
      <c r="D3" s="3" t="n">
        <v>2025</v>
      </c>
    </row>
    <row r="4">
      <c r="A4" s="18" t="inlineStr">
        <is>
          <t>ASSETS</t>
        </is>
      </c>
      <c r="B4" s="18" t="n"/>
      <c r="C4" s="18" t="n"/>
      <c r="D4" s="18" t="n"/>
    </row>
    <row r="5">
      <c r="A5" s="7" t="inlineStr">
        <is>
          <t>Cash &amp; Equivalents</t>
        </is>
      </c>
      <c r="B5" s="5" t="n">
        <v>3998</v>
      </c>
      <c r="C5" s="5" t="n">
        <v>5230</v>
      </c>
      <c r="D5" s="5" t="n">
        <v>7177</v>
      </c>
    </row>
    <row r="6">
      <c r="A6" s="7" t="inlineStr">
        <is>
          <t>Accounts Receivable</t>
        </is>
      </c>
      <c r="B6" s="5" t="n">
        <v>426</v>
      </c>
      <c r="C6" s="5" t="n">
        <v>575</v>
      </c>
      <c r="D6" s="5" t="n">
        <v>1042</v>
      </c>
    </row>
    <row r="7">
      <c r="A7" s="7" t="inlineStr">
        <is>
          <t>Other Current Assets</t>
        </is>
      </c>
      <c r="B7" s="5" t="n">
        <v>97</v>
      </c>
      <c r="C7" s="5" t="n">
        <v>129</v>
      </c>
      <c r="D7" s="5" t="n">
        <v>139</v>
      </c>
    </row>
    <row r="8">
      <c r="A8" s="15" t="inlineStr">
        <is>
          <t>Total Current Assets</t>
        </is>
      </c>
      <c r="B8" s="13" t="n">
        <v>4521</v>
      </c>
      <c r="C8" s="13" t="n">
        <v>5934</v>
      </c>
      <c r="D8" s="13" t="n">
        <v>8358</v>
      </c>
    </row>
    <row r="9">
      <c r="A9" s="7" t="inlineStr">
        <is>
          <t>PP&amp;E (net)</t>
        </is>
      </c>
      <c r="B9" s="5" t="n">
        <v>38</v>
      </c>
      <c r="C9" s="5" t="n">
        <v>40</v>
      </c>
      <c r="D9" s="5" t="n">
        <v>52</v>
      </c>
    </row>
    <row r="10">
      <c r="A10" s="7" t="inlineStr">
        <is>
          <t>Operating Lease ROU</t>
        </is>
      </c>
      <c r="B10" s="5" t="n">
        <v>189</v>
      </c>
      <c r="C10" s="5" t="n">
        <v>201</v>
      </c>
      <c r="D10" s="5" t="n">
        <v>200</v>
      </c>
    </row>
    <row r="11">
      <c r="A11" s="7" t="inlineStr">
        <is>
          <t>Other Assets</t>
        </is>
      </c>
      <c r="B11" s="5" t="n">
        <v>137</v>
      </c>
      <c r="C11" s="5" t="n">
        <v>166</v>
      </c>
      <c r="D11" s="5" t="n">
        <v>290</v>
      </c>
    </row>
    <row r="12">
      <c r="A12" s="15" t="inlineStr">
        <is>
          <t>Total Assets</t>
        </is>
      </c>
      <c r="B12" s="13" t="n">
        <v>4885</v>
      </c>
      <c r="C12" s="13" t="n">
        <v>6341</v>
      </c>
      <c r="D12" s="13" t="n">
        <v>8900</v>
      </c>
    </row>
    <row r="13">
      <c r="A13" s="7" t="inlineStr"/>
    </row>
    <row r="14">
      <c r="A14" s="18" t="inlineStr">
        <is>
          <t>LIABILITIES &amp; EQUITY</t>
        </is>
      </c>
      <c r="B14" s="18" t="n"/>
      <c r="C14" s="18" t="n"/>
      <c r="D14" s="18" t="n"/>
    </row>
    <row r="15">
      <c r="A15" s="15" t="inlineStr">
        <is>
          <t>Total Current Liabilities</t>
        </is>
      </c>
      <c r="B15" s="13" t="n">
        <v>768</v>
      </c>
      <c r="C15" s="13" t="n">
        <v>996</v>
      </c>
      <c r="D15" s="13" t="n">
        <v>1176</v>
      </c>
    </row>
    <row r="16">
      <c r="A16" s="15" t="inlineStr">
        <is>
          <t>Total Liabilities</t>
        </is>
      </c>
      <c r="B16" s="13" t="n">
        <v>1113</v>
      </c>
      <c r="C16" s="13" t="n">
        <v>1246</v>
      </c>
      <c r="D16" s="13" t="n">
        <v>1412</v>
      </c>
    </row>
    <row r="17">
      <c r="A17" s="15" t="inlineStr">
        <is>
          <t>Total Equity</t>
        </is>
      </c>
      <c r="B17" s="13" t="n">
        <v>3772</v>
      </c>
      <c r="C17" s="13" t="n">
        <v>5094</v>
      </c>
      <c r="D17" s="13" t="n">
        <v>7488</v>
      </c>
    </row>
    <row r="18">
      <c r="A18" s="15" t="inlineStr">
        <is>
          <t>Total Liabilities &amp; Equity</t>
        </is>
      </c>
      <c r="B18" s="13" t="n">
        <v>4885</v>
      </c>
      <c r="C18" s="13" t="n">
        <v>6341</v>
      </c>
      <c r="D18" s="13" t="n">
        <v>8900</v>
      </c>
    </row>
    <row r="19">
      <c r="A19" s="7" t="inlineStr"/>
    </row>
    <row r="20">
      <c r="A20" s="18" t="inlineStr">
        <is>
          <t>KEY RATIOS</t>
        </is>
      </c>
      <c r="B20" s="18" t="n"/>
      <c r="C20" s="18" t="n"/>
      <c r="D20" s="18" t="n"/>
    </row>
    <row r="21">
      <c r="A21" s="7" t="inlineStr">
        <is>
          <t>Current Ratio</t>
        </is>
      </c>
      <c r="B21" s="19" t="n">
        <v>5.88671875</v>
      </c>
      <c r="C21" s="19" t="n">
        <v>5.957831325301205</v>
      </c>
      <c r="D21" s="19" t="n">
        <v>7.107142857142857</v>
      </c>
    </row>
    <row r="22">
      <c r="A22" s="7" t="inlineStr">
        <is>
          <t>Debt-to-Equity</t>
        </is>
      </c>
      <c r="B22" s="19" t="n">
        <v>0</v>
      </c>
      <c r="C22" s="19" t="n">
        <v>0</v>
      </c>
      <c r="D22" s="19" t="n">
        <v>0</v>
      </c>
    </row>
    <row r="23">
      <c r="A23" s="7" t="inlineStr">
        <is>
          <t>Cash as % of Assets</t>
        </is>
      </c>
      <c r="B23" s="20" t="n">
        <v>0.8184237461617195</v>
      </c>
      <c r="C23" s="20" t="n">
        <v>0.8247910424223308</v>
      </c>
      <c r="D23" s="20" t="n">
        <v>0.8064044943820224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PALANTIR TECHNOLOGIES INC. (PLTR) — DCF VALUATION MODEL</t>
        </is>
      </c>
    </row>
    <row r="2">
      <c r="A2" s="2" t="inlineStr">
        <is>
          <t>Discounted Cash Flow Analysis | Base Case</t>
        </is>
      </c>
    </row>
    <row r="4">
      <c r="A4" s="18" t="inlineStr">
        <is>
          <t>KEY ASSUMPTIONS</t>
        </is>
      </c>
      <c r="B4" s="18" t="n"/>
      <c r="C4" s="18" t="n"/>
      <c r="D4" s="18" t="n"/>
    </row>
    <row r="5">
      <c r="A5" s="7" t="inlineStr">
        <is>
          <t>Risk-Free Rate</t>
        </is>
      </c>
      <c r="B5" s="21" t="n">
        <v>0.043</v>
      </c>
    </row>
    <row r="6">
      <c r="A6" s="7" t="inlineStr">
        <is>
          <t>Equity Risk Premium</t>
        </is>
      </c>
      <c r="B6" s="21" t="n">
        <v>0.055</v>
      </c>
    </row>
    <row r="7">
      <c r="A7" s="7" t="inlineStr">
        <is>
          <t>Beta</t>
        </is>
      </c>
      <c r="B7" s="22" t="n">
        <v>1.65</v>
      </c>
    </row>
    <row r="8">
      <c r="A8" s="7" t="inlineStr">
        <is>
          <t>Cost of Equity (CAPM)</t>
        </is>
      </c>
      <c r="B8" s="21" t="n">
        <v>0.13375</v>
      </c>
    </row>
    <row r="9">
      <c r="A9" s="7" t="inlineStr">
        <is>
          <t>WACC (no debt)</t>
        </is>
      </c>
      <c r="B9" s="21" t="n">
        <v>0.13375</v>
      </c>
    </row>
    <row r="10">
      <c r="A10" s="7" t="inlineStr">
        <is>
          <t>Terminal Growth Rate</t>
        </is>
      </c>
      <c r="B10" s="21" t="n">
        <v>0.04</v>
      </c>
    </row>
    <row r="11">
      <c r="A11" s="7" t="inlineStr">
        <is>
          <t>Tax Rate</t>
        </is>
      </c>
      <c r="B11" s="21" t="n">
        <v>0.023</v>
      </c>
    </row>
    <row r="12">
      <c r="A12" s="7" t="inlineStr">
        <is>
          <t>Shares Outstanding (M)</t>
        </is>
      </c>
      <c r="B12" s="23" t="n">
        <v>2573</v>
      </c>
    </row>
    <row r="14">
      <c r="A14" s="4" t="inlineStr">
        <is>
          <t>FREE CASH FLOW PROJECTIONS</t>
        </is>
      </c>
    </row>
    <row r="15">
      <c r="A15" s="3" t="inlineStr">
        <is>
          <t>($ in millions)</t>
        </is>
      </c>
      <c r="B15" s="3" t="inlineStr">
        <is>
          <t>2026E</t>
        </is>
      </c>
      <c r="C15" s="3" t="inlineStr">
        <is>
          <t>2027E</t>
        </is>
      </c>
      <c r="D15" s="3" t="inlineStr">
        <is>
          <t>2028E</t>
        </is>
      </c>
      <c r="E15" s="3" t="inlineStr">
        <is>
          <t>2029E</t>
        </is>
      </c>
      <c r="F15" s="3" t="inlineStr">
        <is>
          <t>2030E</t>
        </is>
      </c>
      <c r="G15" s="3" t="inlineStr">
        <is>
          <t>2031E</t>
        </is>
      </c>
      <c r="H15" s="3" t="inlineStr">
        <is>
          <t>2032E</t>
        </is>
      </c>
      <c r="I15" s="3" t="inlineStr">
        <is>
          <t>2033E</t>
        </is>
      </c>
      <c r="J15" s="3" t="inlineStr">
        <is>
          <t>2034E</t>
        </is>
      </c>
      <c r="K15" s="3" t="inlineStr">
        <is>
          <t>2035E</t>
        </is>
      </c>
    </row>
    <row r="16">
      <c r="A16" s="7" t="inlineStr">
        <is>
          <t>Revenue</t>
        </is>
      </c>
      <c r="B16" s="5" t="n">
        <v>7190</v>
      </c>
      <c r="C16" s="5" t="n">
        <v>10066</v>
      </c>
      <c r="D16" s="5" t="n">
        <v>13086</v>
      </c>
      <c r="E16" s="5" t="n">
        <v>15703</v>
      </c>
      <c r="F16" s="5" t="n">
        <v>17902</v>
      </c>
      <c r="G16" s="5" t="n">
        <v>19692</v>
      </c>
      <c r="H16" s="5" t="n">
        <v>21268</v>
      </c>
      <c r="I16" s="5" t="n">
        <v>22544</v>
      </c>
      <c r="J16" s="5" t="n">
        <v>23671</v>
      </c>
      <c r="K16" s="5" t="n">
        <v>24618</v>
      </c>
    </row>
    <row r="17">
      <c r="A17" s="7" t="inlineStr">
        <is>
          <t>Revenue Growth</t>
        </is>
      </c>
      <c r="C17" s="20" t="n">
        <v>0.4</v>
      </c>
      <c r="D17" s="20" t="n">
        <v>0.3000198688654878</v>
      </c>
      <c r="E17" s="20" t="n">
        <v>0.1999847164909063</v>
      </c>
      <c r="F17" s="20" t="n">
        <v>0.1400369356173979</v>
      </c>
      <c r="G17" s="20" t="n">
        <v>0.09998882806390347</v>
      </c>
      <c r="H17" s="20" t="n">
        <v>0.08003250050782043</v>
      </c>
      <c r="I17" s="20" t="n">
        <v>0.05999623848034606</v>
      </c>
      <c r="J17" s="20" t="n">
        <v>0.04999112845990064</v>
      </c>
      <c r="K17" s="20" t="n">
        <v>0.04000675932575726</v>
      </c>
    </row>
    <row r="18">
      <c r="A18" s="7" t="inlineStr">
        <is>
          <t>FCF Margin</t>
        </is>
      </c>
      <c r="B18" s="20" t="n">
        <v>0.55</v>
      </c>
      <c r="C18" s="20" t="n">
        <v>0.53</v>
      </c>
      <c r="D18" s="20" t="n">
        <v>0.51</v>
      </c>
      <c r="E18" s="20" t="n">
        <v>0.5</v>
      </c>
      <c r="F18" s="20" t="n">
        <v>0.48</v>
      </c>
      <c r="G18" s="20" t="n">
        <v>0.47</v>
      </c>
      <c r="H18" s="20" t="n">
        <v>0.46</v>
      </c>
      <c r="I18" s="20" t="n">
        <v>0.45</v>
      </c>
      <c r="J18" s="20" t="n">
        <v>0.44</v>
      </c>
      <c r="K18" s="20" t="n">
        <v>0.43</v>
      </c>
    </row>
    <row r="19">
      <c r="A19" s="7" t="inlineStr">
        <is>
          <t>Free Cash Flow</t>
        </is>
      </c>
      <c r="B19" s="5" t="n">
        <v>3954.5</v>
      </c>
      <c r="C19" s="5" t="n">
        <v>5334.98</v>
      </c>
      <c r="D19" s="5" t="n">
        <v>6673.86</v>
      </c>
      <c r="E19" s="5" t="n">
        <v>7851.5</v>
      </c>
      <c r="F19" s="5" t="n">
        <v>8592.959999999999</v>
      </c>
      <c r="G19" s="5" t="n">
        <v>9255.24</v>
      </c>
      <c r="H19" s="5" t="n">
        <v>9783.280000000001</v>
      </c>
      <c r="I19" s="5" t="n">
        <v>10144.8</v>
      </c>
      <c r="J19" s="5" t="n">
        <v>10415.24</v>
      </c>
      <c r="K19" s="5" t="n">
        <v>10585.74</v>
      </c>
    </row>
    <row r="20">
      <c r="A20" s="7" t="inlineStr">
        <is>
          <t>Discount Factor</t>
        </is>
      </c>
      <c r="B20" s="24" t="n">
        <v>0.8820286659316428</v>
      </c>
      <c r="C20" s="24" t="n">
        <v>0.7779745675251534</v>
      </c>
      <c r="D20" s="24" t="n">
        <v>0.6861958699229579</v>
      </c>
      <c r="E20" s="24" t="n">
        <v>0.6052444277159496</v>
      </c>
      <c r="F20" s="24" t="n">
        <v>0.5338429351408596</v>
      </c>
      <c r="G20" s="24" t="n">
        <v>0.4708647718993248</v>
      </c>
      <c r="H20" s="24" t="n">
        <v>0.4153162265925688</v>
      </c>
      <c r="I20" s="24" t="n">
        <v>0.3663208172812073</v>
      </c>
      <c r="J20" s="24" t="n">
        <v>0.3231054617695323</v>
      </c>
      <c r="K20" s="24" t="n">
        <v>0.284988279399808</v>
      </c>
    </row>
    <row r="21">
      <c r="A21" s="7" t="inlineStr">
        <is>
          <t>PV of FCF</t>
        </is>
      </c>
      <c r="B21" s="5" t="n">
        <v>3487.982359426682</v>
      </c>
      <c r="C21" s="5" t="n">
        <v>4150.478758255343</v>
      </c>
      <c r="D21" s="5" t="n">
        <v>4579.575168444031</v>
      </c>
      <c r="E21" s="5" t="n">
        <v>4752.076624211778</v>
      </c>
      <c r="F21" s="5" t="n">
        <v>4587.290987948</v>
      </c>
      <c r="G21" s="5" t="n">
        <v>4357.966471473506</v>
      </c>
      <c r="H21" s="5" t="n">
        <v>4063.154933298546</v>
      </c>
      <c r="I21" s="5" t="n">
        <v>3716.251427154392</v>
      </c>
      <c r="J21" s="5" t="n">
        <v>3365.220929640504</v>
      </c>
      <c r="K21" s="5" t="n">
        <v>3016.811828773723</v>
      </c>
    </row>
    <row r="23">
      <c r="A23" s="18" t="inlineStr">
        <is>
          <t>TERMINAL VALUE &amp; VALUATION</t>
        </is>
      </c>
      <c r="B23" s="18" t="n"/>
      <c r="C23" s="18" t="n"/>
      <c r="D23" s="18" t="n"/>
    </row>
    <row r="24">
      <c r="A24" s="7" t="inlineStr">
        <is>
          <t>Terminal Year FCF (2031)</t>
        </is>
      </c>
      <c r="B24" s="25" t="n">
        <v>11009.1696</v>
      </c>
    </row>
    <row r="25">
      <c r="A25" s="7" t="inlineStr">
        <is>
          <t>Terminal Value</t>
        </is>
      </c>
      <c r="B25" s="25" t="n">
        <v>117431.1424</v>
      </c>
    </row>
    <row r="26">
      <c r="A26" s="7" t="inlineStr">
        <is>
          <t>PV of Terminal Value</t>
        </is>
      </c>
      <c r="B26" s="25" t="n">
        <v>33466.49922052985</v>
      </c>
    </row>
    <row r="27">
      <c r="A27" s="7" t="inlineStr">
        <is>
          <t>Sum of PV of FCFs</t>
        </is>
      </c>
      <c r="B27" s="25" t="n">
        <v>40076.8094886265</v>
      </c>
    </row>
    <row r="28">
      <c r="A28" s="26" t="inlineStr">
        <is>
          <t>Enterprise Value</t>
        </is>
      </c>
      <c r="B28" s="27" t="n">
        <v>73543.30870915635</v>
      </c>
      <c r="C28" s="28" t="n"/>
    </row>
    <row r="29">
      <c r="A29" s="7" t="inlineStr">
        <is>
          <t>(+) Net Cash</t>
        </is>
      </c>
      <c r="B29" s="25" t="n">
        <v>7177</v>
      </c>
    </row>
    <row r="30">
      <c r="A30" s="26" t="inlineStr">
        <is>
          <t>Equity Value</t>
        </is>
      </c>
      <c r="B30" s="27" t="n">
        <v>80720.30870915635</v>
      </c>
      <c r="C30" s="28" t="n"/>
    </row>
    <row r="31">
      <c r="A31" s="7" t="inlineStr">
        <is>
          <t>Shares Outstanding (M)</t>
        </is>
      </c>
      <c r="B31" s="25" t="n">
        <v>2573</v>
      </c>
    </row>
    <row r="32">
      <c r="A32" s="26" t="inlineStr">
        <is>
          <t>Implied Price per Share</t>
        </is>
      </c>
      <c r="B32" s="29" t="n">
        <v>31.37205935062431</v>
      </c>
      <c r="C32" s="28" t="n"/>
    </row>
    <row r="34">
      <c r="A34" s="4" t="inlineStr">
        <is>
          <t>Current Market Price</t>
        </is>
      </c>
      <c r="B34" s="30" t="n">
        <v>155</v>
      </c>
    </row>
    <row r="35">
      <c r="A35" s="31" t="inlineStr">
        <is>
          <t>Upside / (Downside)</t>
        </is>
      </c>
      <c r="B35" s="32" t="n">
        <v>-0.7975996170927464</v>
      </c>
    </row>
    <row r="37">
      <c r="A37" s="18" t="inlineStr">
        <is>
          <t>SENSITIVITY ANALYSIS — Implied Share Price</t>
        </is>
      </c>
      <c r="B37" s="18" t="n"/>
      <c r="C37" s="18" t="n"/>
      <c r="D37" s="18" t="n"/>
      <c r="E37" s="18" t="n"/>
      <c r="F37" s="18" t="n"/>
      <c r="G37" s="18" t="n"/>
      <c r="H37" s="18" t="n"/>
    </row>
    <row r="38">
      <c r="A38" s="33" t="inlineStr">
        <is>
          <t>WACC ↓ / TGR →</t>
        </is>
      </c>
      <c r="B38" s="34" t="n">
        <v>0.02</v>
      </c>
      <c r="C38" s="34" t="n">
        <v>0.03</v>
      </c>
      <c r="D38" s="34" t="n">
        <v>0.035</v>
      </c>
      <c r="E38" s="34" t="n">
        <v>0.04</v>
      </c>
      <c r="F38" s="34" t="n">
        <v>0.045</v>
      </c>
      <c r="G38" s="34" t="n">
        <v>0.05</v>
      </c>
    </row>
    <row r="39">
      <c r="A39" s="35" t="n">
        <v>0.1</v>
      </c>
      <c r="B39" s="16" t="n">
        <v>44.57757497683495</v>
      </c>
      <c r="C39" s="16" t="n">
        <v>49.59548268253996</v>
      </c>
      <c r="D39" s="16" t="n">
        <v>52.68342588605073</v>
      </c>
      <c r="E39" s="16" t="n">
        <v>56.28602629014664</v>
      </c>
      <c r="F39" s="16" t="n">
        <v>60.54364494953272</v>
      </c>
      <c r="G39" s="16" t="n">
        <v>65.652787340796</v>
      </c>
    </row>
    <row r="40">
      <c r="A40" s="35" t="n">
        <v>0.11</v>
      </c>
      <c r="B40" s="16" t="n">
        <v>39.41639226756829</v>
      </c>
      <c r="C40" s="16" t="n">
        <v>43.180456493421</v>
      </c>
      <c r="D40" s="16" t="n">
        <v>45.43889502893263</v>
      </c>
      <c r="E40" s="16" t="n">
        <v>48.0199676409459</v>
      </c>
      <c r="F40" s="16" t="n">
        <v>50.99812834711509</v>
      </c>
      <c r="G40" s="16" t="n">
        <v>54.47264917097912</v>
      </c>
    </row>
    <row r="41">
      <c r="A41" s="35" t="n">
        <v>0.12</v>
      </c>
      <c r="B41" s="16" t="n">
        <v>35.30681827631011</v>
      </c>
      <c r="C41" s="16" t="n">
        <v>38.21195674126376</v>
      </c>
      <c r="D41" s="16" t="n">
        <v>39.92086172064825</v>
      </c>
      <c r="E41" s="16" t="n">
        <v>41.84337982245582</v>
      </c>
      <c r="F41" s="16" t="n">
        <v>44.02223367117104</v>
      </c>
      <c r="G41" s="16" t="n">
        <v>46.51235235541703</v>
      </c>
    </row>
    <row r="42">
      <c r="A42" s="35" t="n">
        <v>0.13375</v>
      </c>
      <c r="B42" s="16" t="n">
        <v>30.86210873154534</v>
      </c>
      <c r="C42" s="16" t="n">
        <v>32.97206146143145</v>
      </c>
      <c r="D42" s="16" t="n">
        <v>34.18728740079622</v>
      </c>
      <c r="E42" s="36" t="n">
        <v>35.53213744035993</v>
      </c>
      <c r="F42" s="16" t="n">
        <v>37.02851987874769</v>
      </c>
      <c r="G42" s="16" t="n">
        <v>38.70357484709221</v>
      </c>
    </row>
    <row r="43">
      <c r="A43" s="35" t="n">
        <v>0.14</v>
      </c>
      <c r="B43" s="16" t="n">
        <v>29.18749139765368</v>
      </c>
      <c r="C43" s="16" t="n">
        <v>31.03288113118272</v>
      </c>
      <c r="D43" s="16" t="n">
        <v>32.08738955034217</v>
      </c>
      <c r="E43" s="16" t="n">
        <v>33.24734881141757</v>
      </c>
      <c r="F43" s="16" t="n">
        <v>34.52940904734302</v>
      </c>
      <c r="G43" s="16" t="n">
        <v>35.95392042059351</v>
      </c>
    </row>
    <row r="44">
      <c r="A44" s="35" t="n">
        <v>0.16</v>
      </c>
      <c r="B44" s="16" t="n">
        <v>24.86360933143152</v>
      </c>
      <c r="C44" s="16" t="n">
        <v>26.11207927639619</v>
      </c>
      <c r="D44" s="16" t="n">
        <v>26.8112224455764</v>
      </c>
      <c r="E44" s="16" t="n">
        <v>27.56862754552164</v>
      </c>
      <c r="F44" s="16" t="n">
        <v>28.39189395850559</v>
      </c>
      <c r="G44" s="16" t="n">
        <v>29.29000277266989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COMPARABLE COMPANY ANALYSIS</t>
        </is>
      </c>
    </row>
    <row r="3">
      <c r="A3" s="3" t="inlineStr">
        <is>
          <t>Company</t>
        </is>
      </c>
      <c r="B3" s="3" t="inlineStr">
        <is>
          <t>Ticker</t>
        </is>
      </c>
      <c r="C3" s="3" t="inlineStr">
        <is>
          <t>Market Cap ($B)</t>
        </is>
      </c>
      <c r="D3" s="3" t="inlineStr">
        <is>
          <t>Revenue ($B)</t>
        </is>
      </c>
      <c r="E3" s="3" t="inlineStr">
        <is>
          <t>Rev Growth</t>
        </is>
      </c>
      <c r="F3" s="3" t="inlineStr">
        <is>
          <t>Gross Margin</t>
        </is>
      </c>
      <c r="G3" s="3" t="inlineStr">
        <is>
          <t>Op Margin</t>
        </is>
      </c>
      <c r="H3" s="3" t="inlineStr">
        <is>
          <t>EV/Revenue</t>
        </is>
      </c>
      <c r="I3" s="3" t="inlineStr">
        <is>
          <t>EV/EBITDA</t>
        </is>
      </c>
      <c r="J3" s="3" t="inlineStr">
        <is>
          <t>P/E</t>
        </is>
      </c>
    </row>
    <row r="4">
      <c r="A4" s="37" t="inlineStr">
        <is>
          <t>Palantir Technologies</t>
        </is>
      </c>
      <c r="B4" s="37" t="inlineStr">
        <is>
          <t>PLTR</t>
        </is>
      </c>
      <c r="C4" s="38" t="n">
        <v>313.2</v>
      </c>
      <c r="D4" s="39" t="n">
        <v>4.48</v>
      </c>
      <c r="E4" s="40" t="n">
        <v>0.5620000000000001</v>
      </c>
      <c r="F4" s="40" t="n">
        <v>0.824</v>
      </c>
      <c r="G4" s="40" t="n">
        <v>0.316</v>
      </c>
      <c r="H4" s="41" t="n">
        <v>68.40000000000001</v>
      </c>
      <c r="I4" s="41" t="n">
        <v>134</v>
      </c>
      <c r="J4" s="41" t="n">
        <v>246</v>
      </c>
    </row>
    <row r="5">
      <c r="A5" s="42" t="inlineStr">
        <is>
          <t>Snowflake</t>
        </is>
      </c>
      <c r="B5" s="42" t="inlineStr">
        <is>
          <t>SNOW</t>
        </is>
      </c>
      <c r="C5" s="43" t="n">
        <v>62.4</v>
      </c>
      <c r="D5" s="16" t="n">
        <v>3.63</v>
      </c>
      <c r="E5" s="20" t="n">
        <v>0.29</v>
      </c>
      <c r="F5" s="20" t="n">
        <v>0.67</v>
      </c>
      <c r="G5" s="20" t="n">
        <v>-0.04</v>
      </c>
      <c r="H5" s="19" t="n">
        <v>17.2</v>
      </c>
      <c r="I5" s="44" t="n"/>
      <c r="J5" s="44" t="n"/>
    </row>
    <row r="6">
      <c r="A6" s="42" t="inlineStr">
        <is>
          <t>Datadog</t>
        </is>
      </c>
      <c r="B6" s="42" t="inlineStr">
        <is>
          <t>DDOG</t>
        </is>
      </c>
      <c r="C6" s="43" t="n">
        <v>43.9</v>
      </c>
      <c r="D6" s="16" t="n">
        <v>2.68</v>
      </c>
      <c r="E6" s="20" t="n">
        <v>0.26</v>
      </c>
      <c r="F6" s="20" t="n">
        <v>0.8100000000000001</v>
      </c>
      <c r="G6" s="20" t="n">
        <v>0.22</v>
      </c>
      <c r="H6" s="19" t="n">
        <v>16.4</v>
      </c>
      <c r="I6" s="19" t="n">
        <v>65</v>
      </c>
      <c r="J6" s="19" t="n">
        <v>313</v>
      </c>
    </row>
    <row r="7">
      <c r="A7" s="42" t="inlineStr">
        <is>
          <t>CrowdStrike</t>
        </is>
      </c>
      <c r="B7" s="42" t="inlineStr">
        <is>
          <t>CRWD</t>
        </is>
      </c>
      <c r="C7" s="43" t="n">
        <v>89.5</v>
      </c>
      <c r="D7" s="16" t="n">
        <v>3.95</v>
      </c>
      <c r="E7" s="20" t="n">
        <v>0.29</v>
      </c>
      <c r="F7" s="20" t="n">
        <v>0.76</v>
      </c>
      <c r="G7" s="20" t="n">
        <v>0.21</v>
      </c>
      <c r="H7" s="19" t="n">
        <v>22.7</v>
      </c>
      <c r="I7" s="19" t="n">
        <v>75</v>
      </c>
      <c r="J7" s="19" t="n">
        <v>95</v>
      </c>
    </row>
    <row r="8">
      <c r="A8" s="42" t="inlineStr">
        <is>
          <t>C3.ai</t>
        </is>
      </c>
      <c r="B8" s="42" t="inlineStr">
        <is>
          <t>AI</t>
        </is>
      </c>
      <c r="C8" s="43" t="n">
        <v>4.2</v>
      </c>
      <c r="D8" s="16" t="n">
        <v>0.35</v>
      </c>
      <c r="E8" s="20" t="n">
        <v>0.23</v>
      </c>
      <c r="F8" s="20" t="n">
        <v>0.6</v>
      </c>
      <c r="G8" s="20" t="n">
        <v>-0.3</v>
      </c>
      <c r="H8" s="19" t="n">
        <v>12</v>
      </c>
      <c r="I8" s="44" t="n"/>
      <c r="J8" s="44" t="n"/>
    </row>
    <row r="9">
      <c r="A9" s="42" t="inlineStr">
        <is>
          <t>ServiceNow</t>
        </is>
      </c>
      <c r="B9" s="42" t="inlineStr">
        <is>
          <t>NOW</t>
        </is>
      </c>
      <c r="C9" s="43" t="n">
        <v>215</v>
      </c>
      <c r="D9" s="16" t="n">
        <v>11.5</v>
      </c>
      <c r="E9" s="20" t="n">
        <v>0.23</v>
      </c>
      <c r="F9" s="20" t="n">
        <v>0.8</v>
      </c>
      <c r="G9" s="20" t="n">
        <v>0.29</v>
      </c>
      <c r="H9" s="19" t="n">
        <v>18.7</v>
      </c>
      <c r="I9" s="19" t="n">
        <v>60</v>
      </c>
      <c r="J9" s="19" t="n">
        <v>62</v>
      </c>
    </row>
    <row r="10">
      <c r="A10" s="42" t="inlineStr">
        <is>
          <t>Dynatrace</t>
        </is>
      </c>
      <c r="B10" s="42" t="inlineStr">
        <is>
          <t>DT</t>
        </is>
      </c>
      <c r="C10" s="43" t="n">
        <v>15.8</v>
      </c>
      <c r="D10" s="16" t="n">
        <v>1.65</v>
      </c>
      <c r="E10" s="20" t="n">
        <v>0.18</v>
      </c>
      <c r="F10" s="20" t="n">
        <v>0.83</v>
      </c>
      <c r="G10" s="20" t="n">
        <v>0.25</v>
      </c>
      <c r="H10" s="19" t="n">
        <v>9.6</v>
      </c>
      <c r="I10" s="19" t="n">
        <v>38</v>
      </c>
      <c r="J10" s="19" t="n">
        <v>42</v>
      </c>
    </row>
    <row r="12">
      <c r="A12" s="45" t="inlineStr">
        <is>
          <t>Peer Median (excl. PLTR)</t>
        </is>
      </c>
      <c r="B12" s="28" t="n"/>
      <c r="C12" s="28" t="n"/>
      <c r="D12" s="28" t="n"/>
      <c r="E12" s="46" t="n">
        <v>0.245</v>
      </c>
      <c r="F12" s="46" t="n">
        <v>0.78</v>
      </c>
      <c r="G12" s="28" t="n"/>
      <c r="H12" s="47" t="n">
        <v>16.8</v>
      </c>
      <c r="I12" s="47" t="n">
        <v>62.5</v>
      </c>
      <c r="J12" s="47" t="n">
        <v>78.5</v>
      </c>
    </row>
    <row r="14">
      <c r="A14" s="18" t="inlineStr">
        <is>
          <t>IMPLIED VALUATION FROM COMPS</t>
        </is>
      </c>
      <c r="B14" s="18" t="n"/>
      <c r="C14" s="18" t="n"/>
      <c r="D14" s="18" t="n"/>
      <c r="E14" s="18" t="n"/>
    </row>
    <row r="15">
      <c r="A15" s="48" t="inlineStr">
        <is>
          <t>Metric</t>
        </is>
      </c>
      <c r="B15" s="48" t="inlineStr">
        <is>
          <t>PLTR 2026E</t>
        </is>
      </c>
      <c r="C15" s="48" t="inlineStr">
        <is>
          <t>Peer Median Multiple</t>
        </is>
      </c>
      <c r="D15" s="48" t="inlineStr">
        <is>
          <t>Implied EV ($M)</t>
        </is>
      </c>
      <c r="E15" s="48" t="inlineStr">
        <is>
          <t>Implied Price/Share</t>
        </is>
      </c>
    </row>
    <row r="16">
      <c r="A16" s="48" t="inlineStr">
        <is>
          <t>EV/Revenue</t>
        </is>
      </c>
      <c r="B16" s="7" t="n">
        <v>7190</v>
      </c>
      <c r="C16" s="7" t="n">
        <v>16.8</v>
      </c>
      <c r="D16" s="7" t="n">
        <v>120792</v>
      </c>
      <c r="E16" s="7" t="n">
        <v>49735.32841041585</v>
      </c>
    </row>
    <row r="17">
      <c r="A17" s="48" t="inlineStr">
        <is>
          <t>EV/EBITDA</t>
        </is>
      </c>
      <c r="B17" s="7" t="n">
        <v>4134</v>
      </c>
      <c r="C17" s="7" t="n">
        <v>62.5</v>
      </c>
      <c r="D17" s="7" t="n">
        <v>258375</v>
      </c>
      <c r="E17" s="7" t="n">
        <v>103207.1511853867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PALANTIR TECHNOLOGIES — KEY METRICS DASHBOARD</t>
        </is>
      </c>
    </row>
    <row r="3">
      <c r="A3" s="18" t="inlineStr">
        <is>
          <t>PROFITABILITY METRICS</t>
        </is>
      </c>
      <c r="B3" s="18" t="n"/>
      <c r="C3" s="18" t="n"/>
      <c r="D3" s="18" t="n"/>
      <c r="E3" s="18" t="n"/>
      <c r="F3" s="18" t="n"/>
      <c r="G3" s="18" t="n"/>
    </row>
    <row r="4">
      <c r="A4" s="3" t="inlineStr">
        <is>
          <t>Metric</t>
        </is>
      </c>
      <c r="B4" s="3" t="n">
        <v>2021</v>
      </c>
      <c r="C4" s="3" t="n">
        <v>2022</v>
      </c>
      <c r="D4" s="3" t="n">
        <v>2023</v>
      </c>
      <c r="E4" s="3" t="n">
        <v>2024</v>
      </c>
      <c r="F4" s="3" t="n">
        <v>2025</v>
      </c>
    </row>
    <row r="5">
      <c r="A5" s="7" t="inlineStr">
        <is>
          <t>Gross Margin</t>
        </is>
      </c>
      <c r="B5" s="49" t="n">
        <v>0.611</v>
      </c>
      <c r="C5" s="49" t="n">
        <v>0.624</v>
      </c>
      <c r="D5" s="49" t="n">
        <v>0.674</v>
      </c>
      <c r="E5" s="49" t="n">
        <v>0.803</v>
      </c>
      <c r="F5" s="49" t="n">
        <v>0.824</v>
      </c>
    </row>
    <row r="6">
      <c r="A6" s="7" t="inlineStr">
        <is>
          <t>GAAP Operating Margin</t>
        </is>
      </c>
      <c r="B6" s="49" t="n">
        <v>-0.116</v>
      </c>
      <c r="C6" s="49" t="n">
        <v>-0.045</v>
      </c>
      <c r="D6" s="49" t="n">
        <v>0.066</v>
      </c>
      <c r="E6" s="49" t="n">
        <v>0.108</v>
      </c>
      <c r="F6" s="49" t="n">
        <v>0.316</v>
      </c>
    </row>
    <row r="7">
      <c r="A7" s="7" t="inlineStr">
        <is>
          <t>Adj. Operating Margin</t>
        </is>
      </c>
      <c r="B7" s="49" t="n">
        <v>0.31</v>
      </c>
      <c r="C7" s="49" t="n">
        <v>0.25</v>
      </c>
      <c r="D7" s="49" t="n">
        <v>0.277</v>
      </c>
      <c r="E7" s="49" t="n">
        <v>0.394</v>
      </c>
      <c r="F7" s="49" t="n">
        <v>0.504</v>
      </c>
    </row>
    <row r="8">
      <c r="A8" s="7" t="inlineStr">
        <is>
          <t>Net Margin</t>
        </is>
      </c>
      <c r="B8" s="49" t="n">
        <v>-0.337</v>
      </c>
      <c r="C8" s="49" t="n">
        <v>-0.196</v>
      </c>
      <c r="D8" s="49" t="n">
        <v>0.094</v>
      </c>
      <c r="E8" s="49" t="n">
        <v>0.161</v>
      </c>
      <c r="F8" s="49" t="n">
        <v>0.363</v>
      </c>
    </row>
    <row r="9">
      <c r="A9" s="7" t="inlineStr">
        <is>
          <t>FCF Margin</t>
        </is>
      </c>
      <c r="B9" s="49" t="n">
        <v>0.175</v>
      </c>
      <c r="C9" s="49" t="n">
        <v>0.142</v>
      </c>
      <c r="D9" s="49" t="n">
        <v>0.263</v>
      </c>
      <c r="E9" s="49" t="n">
        <v>0.436</v>
      </c>
      <c r="F9" s="49" t="n">
        <v>0.507</v>
      </c>
    </row>
    <row r="10">
      <c r="A10" s="7" t="inlineStr">
        <is>
          <t>Rule of 40</t>
        </is>
      </c>
      <c r="B10" s="50" t="n">
        <v>0.721</v>
      </c>
      <c r="C10" s="50" t="n">
        <v>0.486</v>
      </c>
      <c r="D10" s="50" t="n">
        <v>0.4450000000000001</v>
      </c>
      <c r="E10" s="50" t="n">
        <v>0.6819999999999999</v>
      </c>
      <c r="F10" s="50" t="n">
        <v>1.066</v>
      </c>
    </row>
    <row r="11">
      <c r="A11" s="7" t="inlineStr">
        <is>
          <t>SBC as % of Revenue</t>
        </is>
      </c>
      <c r="B11" s="49" t="n">
        <v>0.504</v>
      </c>
      <c r="C11" s="49" t="n">
        <v>0.294</v>
      </c>
      <c r="D11" s="49" t="n">
        <v>0.211</v>
      </c>
      <c r="E11" s="49" t="n">
        <v>0.241</v>
      </c>
      <c r="F11" s="49" t="n">
        <v>0.153</v>
      </c>
    </row>
    <row r="12">
      <c r="A12" s="7" t="inlineStr">
        <is>
          <t>Revenue per Employee</t>
        </is>
      </c>
      <c r="B12" s="51" t="n">
        <v>0.456</v>
      </c>
      <c r="C12" s="51" t="n">
        <v>0.521</v>
      </c>
      <c r="D12" s="51" t="n">
        <v>0.614</v>
      </c>
      <c r="E12" s="51" t="n">
        <v>0.8159999999999999</v>
      </c>
      <c r="F12" s="51" t="n">
        <v>1.1</v>
      </c>
    </row>
    <row r="14">
      <c r="A14" s="18" t="inlineStr">
        <is>
          <t>GROWTH METRICS</t>
        </is>
      </c>
      <c r="B14" s="18" t="n"/>
      <c r="C14" s="18" t="n"/>
      <c r="D14" s="18" t="n"/>
      <c r="E14" s="18" t="n"/>
      <c r="F14" s="18" t="n"/>
      <c r="G14" s="18" t="n"/>
    </row>
    <row r="15">
      <c r="A15" s="3" t="inlineStr">
        <is>
          <t>Metric</t>
        </is>
      </c>
      <c r="B15" s="3" t="n">
        <v>2021</v>
      </c>
      <c r="C15" s="3" t="n">
        <v>2022</v>
      </c>
      <c r="D15" s="3" t="n">
        <v>2023</v>
      </c>
      <c r="E15" s="3" t="n">
        <v>2024</v>
      </c>
      <c r="F15" s="3" t="n">
        <v>2025</v>
      </c>
    </row>
    <row r="16">
      <c r="A16" s="7" t="inlineStr">
        <is>
          <t>Revenue Growth</t>
        </is>
      </c>
      <c r="B16" s="49" t="n">
        <v>0.411</v>
      </c>
      <c r="C16" s="49" t="n">
        <v>0.236</v>
      </c>
      <c r="D16" s="49" t="n">
        <v>0.168</v>
      </c>
      <c r="E16" s="49" t="n">
        <v>0.288</v>
      </c>
      <c r="F16" s="49" t="n">
        <v>0.5620000000000001</v>
      </c>
    </row>
    <row r="17">
      <c r="A17" s="7" t="inlineStr">
        <is>
          <t>U.S. Commercial Growth</t>
        </is>
      </c>
      <c r="E17" s="49" t="n">
        <v>0.54</v>
      </c>
      <c r="F17" s="49" t="n">
        <v>1.09</v>
      </c>
    </row>
    <row r="18">
      <c r="A18" s="7" t="inlineStr">
        <is>
          <t>U.S. Government Growth</t>
        </is>
      </c>
      <c r="E18" s="49" t="n">
        <v>0.24</v>
      </c>
      <c r="F18" s="49" t="n">
        <v>0.55</v>
      </c>
    </row>
    <row r="19">
      <c r="A19" s="7" t="inlineStr">
        <is>
          <t>Customer Count Growth</t>
        </is>
      </c>
      <c r="B19" s="49" t="n">
        <v>0.71</v>
      </c>
      <c r="C19" s="49" t="n">
        <v>0.55</v>
      </c>
      <c r="D19" s="49" t="n">
        <v>0.35</v>
      </c>
      <c r="E19" s="49" t="n">
        <v>0.43</v>
      </c>
      <c r="F19" s="49" t="n">
        <v>0.34</v>
      </c>
    </row>
    <row r="20">
      <c r="A20" s="7" t="inlineStr">
        <is>
          <t>Net Income Growth</t>
        </is>
      </c>
      <c r="E20" s="49" t="n">
        <v>1.2</v>
      </c>
      <c r="F20" s="49" t="n">
        <v>2.52</v>
      </c>
    </row>
    <row r="21">
      <c r="A21" s="7" t="inlineStr">
        <is>
          <t>FCF Growth</t>
        </is>
      </c>
      <c r="E21" s="49" t="n">
        <v>0.65</v>
      </c>
      <c r="F21" s="49" t="n">
        <v>0.82</v>
      </c>
    </row>
    <row r="23">
      <c r="A23" s="18" t="inlineStr">
        <is>
          <t>OPERATIONAL HIGHLIGHTS (Q4 2025)</t>
        </is>
      </c>
      <c r="B23" s="18" t="n"/>
      <c r="C23" s="18" t="n"/>
      <c r="D23" s="18" t="n"/>
    </row>
    <row r="24">
      <c r="A24" s="7" t="inlineStr">
        <is>
          <t>Total Contract Value (TCV)</t>
        </is>
      </c>
      <c r="B24" s="52" t="inlineStr">
        <is>
          <t>$4.26B</t>
        </is>
      </c>
      <c r="C24" s="53" t="inlineStr">
        <is>
          <t>+138% YoY</t>
        </is>
      </c>
    </row>
    <row r="25">
      <c r="A25" s="7" t="inlineStr">
        <is>
          <t>U.S. Commercial TCV</t>
        </is>
      </c>
      <c r="B25" s="52" t="inlineStr">
        <is>
          <t>$1.34B</t>
        </is>
      </c>
      <c r="C25" s="53" t="inlineStr">
        <is>
          <t>+67% YoY</t>
        </is>
      </c>
    </row>
    <row r="26">
      <c r="A26" s="7" t="inlineStr">
        <is>
          <t>Remaining Deal Value (RDV)</t>
        </is>
      </c>
      <c r="B26" s="52" t="inlineStr">
        <is>
          <t>$4.38B</t>
        </is>
      </c>
      <c r="C26" s="53" t="inlineStr">
        <is>
          <t>+145% YoY</t>
        </is>
      </c>
    </row>
    <row r="27">
      <c r="A27" s="7" t="inlineStr">
        <is>
          <t>Deals ≥ $1M</t>
        </is>
      </c>
      <c r="B27" s="52" t="inlineStr">
        <is>
          <t>180</t>
        </is>
      </c>
      <c r="C27" s="53" t="inlineStr"/>
    </row>
    <row r="28">
      <c r="A28" s="7" t="inlineStr">
        <is>
          <t>Deals ≥ $5M</t>
        </is>
      </c>
      <c r="B28" s="52" t="inlineStr">
        <is>
          <t>84</t>
        </is>
      </c>
      <c r="C28" s="53" t="inlineStr"/>
    </row>
    <row r="29">
      <c r="A29" s="7" t="inlineStr">
        <is>
          <t>Deals ≥ $10M</t>
        </is>
      </c>
      <c r="B29" s="52" t="inlineStr">
        <is>
          <t>61</t>
        </is>
      </c>
      <c r="C29" s="53" t="inlineStr"/>
    </row>
    <row r="30">
      <c r="A30" s="7" t="inlineStr">
        <is>
          <t>Customer Count Growth</t>
        </is>
      </c>
      <c r="B30" s="52" t="inlineStr">
        <is>
          <t>+34% YoY</t>
        </is>
      </c>
      <c r="C30" s="53" t="inlineStr">
        <is>
          <t>+5% QoQ</t>
        </is>
      </c>
    </row>
    <row r="31">
      <c r="A31" s="7" t="inlineStr">
        <is>
          <t>Cash &amp; Securities</t>
        </is>
      </c>
      <c r="B31" s="52" t="inlineStr">
        <is>
          <t>$7.2B</t>
        </is>
      </c>
      <c r="C31" s="53" t="inlineStr"/>
    </row>
    <row r="32">
      <c r="A32" s="7" t="inlineStr">
        <is>
          <t>No Long-Term Debt</t>
        </is>
      </c>
      <c r="B32" s="52" t="inlineStr">
        <is>
          <t>$0</t>
        </is>
      </c>
      <c r="C32" s="53" t="inlineStr">
        <is>
          <t>Debt-free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</cols>
  <sheetData>
    <row r="1">
      <c r="A1" s="1" t="inlineStr">
        <is>
          <t>PALANTIR TECHNOLOGIES — INVESTMENT THESIS</t>
        </is>
      </c>
    </row>
    <row r="3">
      <c r="A3" s="54" t="inlineStr">
        <is>
          <t>RECOMMENDATION</t>
        </is>
      </c>
      <c r="B3" s="55" t="inlineStr">
        <is>
          <t>HOLD</t>
        </is>
      </c>
    </row>
    <row r="4">
      <c r="A4" s="56" t="inlineStr">
        <is>
          <t>DCF Implied Price: $31.37</t>
        </is>
      </c>
      <c r="B4" s="56" t="inlineStr">
        <is>
          <t>Current Price: $155</t>
        </is>
      </c>
      <c r="C4" s="57" t="inlineStr">
        <is>
          <t>Upside: -79.8%</t>
        </is>
      </c>
    </row>
    <row r="6">
      <c r="A6" s="18" t="inlineStr">
        <is>
          <t>BULL CASE</t>
        </is>
      </c>
      <c r="B6" s="18" t="n"/>
      <c r="C6" s="18" t="n"/>
      <c r="D6" s="18" t="n"/>
    </row>
    <row r="7">
      <c r="A7" s="58" t="inlineStr">
        <is>
          <t xml:space="preserve">  ✓  AIP driving unprecedented U.S. commercial growth (137% YoY in Q4)</t>
        </is>
      </c>
    </row>
    <row r="8">
      <c r="A8" s="58" t="inlineStr">
        <is>
          <t xml:space="preserve">  ✓  Pentagon adoption as core military AI system — massive TAM expansion</t>
        </is>
      </c>
    </row>
    <row r="9">
      <c r="A9" s="58" t="inlineStr">
        <is>
          <t xml:space="preserve">  ✓  Rule of 40 score of 127% — best-in-class software metrics</t>
        </is>
      </c>
    </row>
    <row r="10">
      <c r="A10" s="58" t="inlineStr">
        <is>
          <t xml:space="preserve">  ✓  Zero debt, $7.2B cash — fortress balance sheet</t>
        </is>
      </c>
    </row>
    <row r="11">
      <c r="A11" s="58" t="inlineStr">
        <is>
          <t xml:space="preserve">  ✓  FY2026 guidance of 61% revenue growth crushes consensus</t>
        </is>
      </c>
    </row>
    <row r="12">
      <c r="A12" s="58" t="inlineStr">
        <is>
          <t xml:space="preserve">  ✓  Network effects: more data → better ontology → higher switching costs</t>
        </is>
      </c>
    </row>
    <row r="13">
      <c r="A13" s="58" t="inlineStr">
        <is>
          <t xml:space="preserve">  ✓  Only scaled AI platform with dual government + commercial presence</t>
        </is>
      </c>
    </row>
    <row r="15">
      <c r="A15" s="18" t="inlineStr">
        <is>
          <t>BEAR CASE</t>
        </is>
      </c>
      <c r="B15" s="18" t="n"/>
      <c r="C15" s="18" t="n"/>
      <c r="D15" s="18" t="n"/>
    </row>
    <row r="16">
      <c r="A16" s="59" t="inlineStr">
        <is>
          <t xml:space="preserve">  ✗  Extreme valuation: ~70x EV/Revenue, ~246x P/E — priced for perfection</t>
        </is>
      </c>
    </row>
    <row r="17">
      <c r="A17" s="59" t="inlineStr">
        <is>
          <t xml:space="preserve">  ✗  Massive insider selling: $292M in 30 days, $6M/day, ZERO insider purchases</t>
        </is>
      </c>
    </row>
    <row r="18">
      <c r="A18" s="59" t="inlineStr">
        <is>
          <t xml:space="preserve">  ✗  SBC still significant at $684M (15% of revenue) — real dilution cost</t>
        </is>
      </c>
    </row>
    <row r="19">
      <c r="A19" s="59" t="inlineStr">
        <is>
          <t xml:space="preserve">  ✗  Government revenue concentration risk — budget cuts could impact</t>
        </is>
      </c>
    </row>
    <row r="20">
      <c r="A20" s="59" t="inlineStr">
        <is>
          <t xml:space="preserve">  ✗  Competition intensifying: Databricks, Snowflake expanding AI capabilities</t>
        </is>
      </c>
    </row>
    <row r="21">
      <c r="A21" s="59" t="inlineStr">
        <is>
          <t xml:space="preserve">  ✗  Technical signals bearish across all timeframes</t>
        </is>
      </c>
    </row>
    <row r="22">
      <c r="A22" s="59" t="inlineStr">
        <is>
          <t xml:space="preserve">  ✗  Michael Burry critique: moat is "obstruction of data transfer" (lock-in)</t>
        </is>
      </c>
    </row>
    <row r="24">
      <c r="A24" s="18" t="inlineStr">
        <is>
          <t>KEY CATALYSTS TO WATCH</t>
        </is>
      </c>
      <c r="B24" s="18" t="n"/>
      <c r="C24" s="18" t="n"/>
      <c r="D24" s="18" t="n"/>
    </row>
    <row r="25">
      <c r="A25" s="60" t="inlineStr">
        <is>
          <t xml:space="preserve">  →  Q1 2026 earnings (expected ~$1.53B revenue) — execution on guidance</t>
        </is>
      </c>
    </row>
    <row r="26">
      <c r="A26" s="60" t="inlineStr">
        <is>
          <t xml:space="preserve">  →  Pentagon Maven AI program expansion — contract size and scope</t>
        </is>
      </c>
    </row>
    <row r="27">
      <c r="A27" s="60" t="inlineStr">
        <is>
          <t xml:space="preserve">  →  AIP commercial adoption metrics — bootcamp-to-contract conversion</t>
        </is>
      </c>
    </row>
    <row r="28">
      <c r="A28" s="60" t="inlineStr">
        <is>
          <t xml:space="preserve">  →  Insider selling pace — any deceleration would be bullish signal</t>
        </is>
      </c>
    </row>
    <row r="29">
      <c r="A29" s="60" t="inlineStr">
        <is>
          <t xml:space="preserve">  →  Macro environment — tariff/trade war impact on defense budgets</t>
        </is>
      </c>
    </row>
    <row r="30">
      <c r="A30" s="60" t="inlineStr">
        <is>
          <t xml:space="preserve">  →  Competitive dynamics — Databricks IPO, Snowflake AI push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2026-03-28T22:32:03Z</dcterms:created>
  <dcterms:modified xmlns:dcterms="http://purl.org/dc/terms/" xmlns:xsi="http://www.w3.org/2001/XMLSchema-instance" xsi:type="dcterms:W3CDTF">2026-03-28T22:32:03Z</dcterms:modified>
</cp:coreProperties>
</file>